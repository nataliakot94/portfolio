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9053\OneDrive\Рабочий стол\аналитик данных\дипломная_работа\"/>
    </mc:Choice>
  </mc:AlternateContent>
  <xr:revisionPtr revIDLastSave="0" documentId="13_ncr:1_{BBEA1DA3-280B-4B00-A27B-5DFCDADB6DA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Итог" sheetId="4" r:id="rId1"/>
    <sheet name="Положительный исход" sheetId="1" r:id="rId2"/>
    <sheet name="Отрицательный исход" sheetId="2" r:id="rId3"/>
    <sheet name="Нейтральный исход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4" l="1"/>
  <c r="B8" i="4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2" i="3"/>
  <c r="B6" i="4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2" i="1"/>
  <c r="O2" i="2"/>
  <c r="B5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2" i="3"/>
</calcChain>
</file>

<file path=xl/sharedStrings.xml><?xml version="1.0" encoding="utf-8"?>
<sst xmlns="http://schemas.openxmlformats.org/spreadsheetml/2006/main" count="162" uniqueCount="47">
  <si>
    <t>city</t>
  </si>
  <si>
    <t>id_trading_point</t>
  </si>
  <si>
    <t>count_test</t>
  </si>
  <si>
    <t>count_control</t>
  </si>
  <si>
    <t>count_all</t>
  </si>
  <si>
    <t>percent_count</t>
  </si>
  <si>
    <t>avg_payment_test</t>
  </si>
  <si>
    <t>avg_payment_control</t>
  </si>
  <si>
    <t>diff</t>
  </si>
  <si>
    <t>sigma_test</t>
  </si>
  <si>
    <t>sigma_control</t>
  </si>
  <si>
    <t>ttest</t>
  </si>
  <si>
    <t>pvalue_ttest</t>
  </si>
  <si>
    <t>label</t>
  </si>
  <si>
    <t>Казань</t>
  </si>
  <si>
    <t>Москва</t>
  </si>
  <si>
    <t>Самара</t>
  </si>
  <si>
    <t>Санкт-Петербург</t>
  </si>
  <si>
    <t>Тюмень</t>
  </si>
  <si>
    <t>Положительный исход</t>
  </si>
  <si>
    <t>Ярославль</t>
  </si>
  <si>
    <t>Отрицательный исход</t>
  </si>
  <si>
    <t>Великий Новгород</t>
  </si>
  <si>
    <t>Владимир</t>
  </si>
  <si>
    <t>Волгоград</t>
  </si>
  <si>
    <t>Дмитров</t>
  </si>
  <si>
    <t>Краснодар</t>
  </si>
  <si>
    <t>Красноярск</t>
  </si>
  <si>
    <t>Мурманск</t>
  </si>
  <si>
    <t>Нижний Новгород</t>
  </si>
  <si>
    <t>Саратов</t>
  </si>
  <si>
    <t>Сахалинск</t>
  </si>
  <si>
    <t>Сочи</t>
  </si>
  <si>
    <t>Тольятти</t>
  </si>
  <si>
    <t>Нейтральный исход</t>
  </si>
  <si>
    <t>N</t>
  </si>
  <si>
    <t>MDE</t>
  </si>
  <si>
    <t>выгода</t>
  </si>
  <si>
    <t>потеря</t>
  </si>
  <si>
    <t>Необходимое кол-во наблюдений</t>
  </si>
  <si>
    <t>Стандартное отклонение</t>
  </si>
  <si>
    <t>прибыль</t>
  </si>
  <si>
    <t>потери</t>
  </si>
  <si>
    <t>баланс</t>
  </si>
  <si>
    <t>количество наблюдений</t>
  </si>
  <si>
    <t>Вводные данные</t>
  </si>
  <si>
    <t xml:space="preserve">Расчетные данные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</si>
</sst>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 applyAlignment="1">
      <alignment horizontal="center"/>
    </xf>
    <xf numFmtId="164" fontId="0" fillId="3" borderId="0" xfId="0" applyNumberFormat="1" applyFill="1"/>
    <xf numFmtId="0" fontId="0" fillId="3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2B93-3DA4-4327-9370-92A99FD15892}">
  <dimension ref="A1:D8"/>
  <sheetViews>
    <sheetView tabSelected="1" workbookViewId="0">
      <selection activeCell="D13" sqref="D13"/>
    </sheetView>
  </sheetViews>
  <sheetFormatPr defaultRowHeight="15" x14ac:dyDescent="0.25"/>
  <cols>
    <col min="1" max="1" width="24" bestFit="1" customWidth="1"/>
    <col min="2" max="2" width="15.140625" bestFit="1" customWidth="1"/>
    <col min="3" max="3" width="16.85546875" bestFit="1" customWidth="1"/>
    <col min="4" max="4" width="17.42578125" bestFit="1" customWidth="1"/>
    <col min="6" max="6" width="24.5703125" bestFit="1" customWidth="1"/>
  </cols>
  <sheetData>
    <row r="1" spans="1:4" x14ac:dyDescent="0.25">
      <c r="A1" s="4" t="s">
        <v>45</v>
      </c>
      <c r="B1" s="4"/>
    </row>
    <row r="2" spans="1:4" x14ac:dyDescent="0.25">
      <c r="A2" s="2" t="s">
        <v>35</v>
      </c>
      <c r="B2" s="2">
        <v>10000</v>
      </c>
    </row>
    <row r="3" spans="1:4" x14ac:dyDescent="0.25">
      <c r="A3" s="2" t="s">
        <v>36</v>
      </c>
      <c r="B3" s="2">
        <v>1000</v>
      </c>
    </row>
    <row r="4" spans="1:4" x14ac:dyDescent="0.25">
      <c r="A4" s="4" t="s">
        <v>46</v>
      </c>
      <c r="B4" s="4"/>
    </row>
    <row r="5" spans="1:4" x14ac:dyDescent="0.25">
      <c r="A5" s="2" t="s">
        <v>41</v>
      </c>
      <c r="B5" s="3">
        <f>SUM('Положительный исход'!O2:O17)</f>
        <v>2070471.2667561765</v>
      </c>
      <c r="C5" s="5"/>
      <c r="D5" s="1"/>
    </row>
    <row r="6" spans="1:4" x14ac:dyDescent="0.25">
      <c r="A6" s="2" t="s">
        <v>42</v>
      </c>
      <c r="B6" s="3">
        <f>SUM('Отрицательный исход'!O2)</f>
        <v>-517326.82697107986</v>
      </c>
      <c r="C6" s="5"/>
      <c r="D6" s="1"/>
    </row>
    <row r="7" spans="1:4" x14ac:dyDescent="0.25">
      <c r="A7" s="2" t="s">
        <v>43</v>
      </c>
      <c r="B7" s="3">
        <f>B5+B6</f>
        <v>1553144.4397850966</v>
      </c>
      <c r="C7" s="5"/>
      <c r="D7" s="1"/>
    </row>
    <row r="8" spans="1:4" x14ac:dyDescent="0.25">
      <c r="A8" s="2" t="s">
        <v>44</v>
      </c>
      <c r="B8" s="2">
        <f>SUM('Нейтральный исход'!P2:P38)</f>
        <v>3135</v>
      </c>
      <c r="C8" s="6"/>
    </row>
  </sheetData>
  <mergeCells count="2">
    <mergeCell ref="A1:B1"/>
    <mergeCell ref="A4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workbookViewId="0">
      <selection activeCell="O17" sqref="O17"/>
    </sheetView>
  </sheetViews>
  <sheetFormatPr defaultRowHeight="15" x14ac:dyDescent="0.25"/>
  <cols>
    <col min="14" max="14" width="22.28515625" bestFit="1" customWidth="1"/>
    <col min="15" max="15" width="17.42578125" style="1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37</v>
      </c>
    </row>
    <row r="2" spans="1:15" x14ac:dyDescent="0.25">
      <c r="A2" t="s">
        <v>14</v>
      </c>
      <c r="B2">
        <v>544</v>
      </c>
      <c r="C2">
        <v>356</v>
      </c>
      <c r="D2">
        <v>384</v>
      </c>
      <c r="E2">
        <v>740</v>
      </c>
      <c r="F2">
        <v>1.614169793211762</v>
      </c>
      <c r="G2">
        <v>1971.988764044944</v>
      </c>
      <c r="H2">
        <v>1604.091145833333</v>
      </c>
      <c r="I2">
        <v>367.89761821161051</v>
      </c>
      <c r="J2">
        <v>2544.7737185743331</v>
      </c>
      <c r="K2">
        <v>2351.2183752402948</v>
      </c>
      <c r="L2">
        <v>-2.03800028172803</v>
      </c>
      <c r="M2">
        <v>4.1914491357259248E-2</v>
      </c>
      <c r="N2" t="s">
        <v>19</v>
      </c>
      <c r="O2" s="1">
        <f>I2*Итог!$B$2*('Положительный исход'!F2/100)</f>
        <v>59384.922231173507</v>
      </c>
    </row>
    <row r="3" spans="1:15" x14ac:dyDescent="0.25">
      <c r="A3" t="s">
        <v>15</v>
      </c>
      <c r="B3">
        <v>1002</v>
      </c>
      <c r="C3">
        <v>130</v>
      </c>
      <c r="D3">
        <v>186</v>
      </c>
      <c r="E3">
        <v>316</v>
      </c>
      <c r="F3">
        <v>0.68929412791204958</v>
      </c>
      <c r="G3">
        <v>3441.084615384616</v>
      </c>
      <c r="H3">
        <v>1742.6075268817201</v>
      </c>
      <c r="I3">
        <v>1698.477088502895</v>
      </c>
      <c r="J3">
        <v>2736.0858593973321</v>
      </c>
      <c r="K3">
        <v>2239.1899987579518</v>
      </c>
      <c r="L3">
        <v>-5.8414620803066786</v>
      </c>
      <c r="M3">
        <v>1.6659460717548809E-8</v>
      </c>
      <c r="N3" t="s">
        <v>19</v>
      </c>
      <c r="O3" s="1">
        <f>I3*Итог!$B$2*('Положительный исход'!F3/100)</f>
        <v>117075.02834982</v>
      </c>
    </row>
    <row r="4" spans="1:15" x14ac:dyDescent="0.25">
      <c r="A4" t="s">
        <v>15</v>
      </c>
      <c r="B4">
        <v>1287</v>
      </c>
      <c r="C4">
        <v>366</v>
      </c>
      <c r="D4">
        <v>353</v>
      </c>
      <c r="E4">
        <v>719</v>
      </c>
      <c r="F4">
        <v>1.568362272053049</v>
      </c>
      <c r="G4">
        <v>2043.9098360655739</v>
      </c>
      <c r="H4">
        <v>1251.9235127478751</v>
      </c>
      <c r="I4">
        <v>791.98632331769841</v>
      </c>
      <c r="J4">
        <v>2253.2319509373428</v>
      </c>
      <c r="K4">
        <v>1909.6593006872361</v>
      </c>
      <c r="L4">
        <v>-5.0908066842747086</v>
      </c>
      <c r="M4">
        <v>4.578721193041534E-7</v>
      </c>
      <c r="N4" t="s">
        <v>19</v>
      </c>
      <c r="O4" s="1">
        <f>I4*Итог!$B$2*('Положительный исход'!F4/100)</f>
        <v>124212.14694734862</v>
      </c>
    </row>
    <row r="5" spans="1:15" x14ac:dyDescent="0.25">
      <c r="A5" t="s">
        <v>15</v>
      </c>
      <c r="B5">
        <v>1654</v>
      </c>
      <c r="C5">
        <v>773</v>
      </c>
      <c r="D5">
        <v>760</v>
      </c>
      <c r="E5">
        <v>1533</v>
      </c>
      <c r="F5">
        <v>3.3439490445859872</v>
      </c>
      <c r="G5">
        <v>2810.4411384217328</v>
      </c>
      <c r="H5">
        <v>2288.7921052631582</v>
      </c>
      <c r="I5">
        <v>521.64903315857555</v>
      </c>
      <c r="J5">
        <v>2463.6037834394028</v>
      </c>
      <c r="K5">
        <v>2368.3589764450439</v>
      </c>
      <c r="L5">
        <v>-4.2266716806850102</v>
      </c>
      <c r="M5">
        <v>2.5119294641354979E-5</v>
      </c>
      <c r="N5" t="s">
        <v>19</v>
      </c>
      <c r="O5" s="1">
        <f>I5*Итог!$B$2*('Положительный исход'!F5/100)</f>
        <v>174436.77860398227</v>
      </c>
    </row>
    <row r="6" spans="1:15" x14ac:dyDescent="0.25">
      <c r="A6" t="s">
        <v>15</v>
      </c>
      <c r="B6">
        <v>2652</v>
      </c>
      <c r="C6">
        <v>2225</v>
      </c>
      <c r="D6">
        <v>2334</v>
      </c>
      <c r="E6">
        <v>4559</v>
      </c>
      <c r="F6">
        <v>9.944594712503271</v>
      </c>
      <c r="G6">
        <v>2278.6035955056182</v>
      </c>
      <c r="H6">
        <v>1817.0775492716371</v>
      </c>
      <c r="I6">
        <v>461.52604623398162</v>
      </c>
      <c r="J6">
        <v>2339.786263755519</v>
      </c>
      <c r="K6">
        <v>2229.1872369167581</v>
      </c>
      <c r="L6">
        <v>-6.8125539260731314</v>
      </c>
      <c r="M6">
        <v>1.084863790244081E-11</v>
      </c>
      <c r="N6" t="s">
        <v>19</v>
      </c>
      <c r="O6" s="1">
        <f>I6*Итог!$B$2*('Положительный исход'!F6/100)</f>
        <v>458968.94790609943</v>
      </c>
    </row>
    <row r="7" spans="1:15" x14ac:dyDescent="0.25">
      <c r="A7" t="s">
        <v>16</v>
      </c>
      <c r="B7">
        <v>33</v>
      </c>
      <c r="C7">
        <v>215</v>
      </c>
      <c r="D7">
        <v>256</v>
      </c>
      <c r="E7">
        <v>471</v>
      </c>
      <c r="F7">
        <v>1.027397260273972</v>
      </c>
      <c r="G7">
        <v>4058.013953488372</v>
      </c>
      <c r="H7">
        <v>2248.41015625</v>
      </c>
      <c r="I7">
        <v>1809.603797238372</v>
      </c>
      <c r="J7">
        <v>2270.7154364345911</v>
      </c>
      <c r="K7">
        <v>2270.4277215879979</v>
      </c>
      <c r="L7">
        <v>-8.6153844977402692</v>
      </c>
      <c r="M7">
        <v>1.1560705562722309E-16</v>
      </c>
      <c r="N7" t="s">
        <v>19</v>
      </c>
      <c r="O7" s="1">
        <f>I7*Итог!$B$2*('Положительный исход'!F7/100)</f>
        <v>185918.19834640797</v>
      </c>
    </row>
    <row r="8" spans="1:15" x14ac:dyDescent="0.25">
      <c r="A8" t="s">
        <v>16</v>
      </c>
      <c r="B8">
        <v>34</v>
      </c>
      <c r="C8">
        <v>219</v>
      </c>
      <c r="D8">
        <v>248</v>
      </c>
      <c r="E8">
        <v>467</v>
      </c>
      <c r="F8">
        <v>1.0186720181485041</v>
      </c>
      <c r="G8">
        <v>2860.7305936073062</v>
      </c>
      <c r="H8">
        <v>1573.7741935483871</v>
      </c>
      <c r="I8">
        <v>1286.9564000589189</v>
      </c>
      <c r="J8">
        <v>2586.5279205854308</v>
      </c>
      <c r="K8">
        <v>2213.5938841683869</v>
      </c>
      <c r="L8">
        <v>-5.7378797005477802</v>
      </c>
      <c r="M8">
        <v>1.8067236708551049E-8</v>
      </c>
      <c r="N8" t="s">
        <v>19</v>
      </c>
      <c r="O8" s="1">
        <f>I8*Итог!$B$2*('Положительный исход'!F8/100)</f>
        <v>131098.64733171527</v>
      </c>
    </row>
    <row r="9" spans="1:15" x14ac:dyDescent="0.25">
      <c r="A9" t="s">
        <v>16</v>
      </c>
      <c r="B9">
        <v>35</v>
      </c>
      <c r="C9">
        <v>208</v>
      </c>
      <c r="D9">
        <v>194</v>
      </c>
      <c r="E9">
        <v>402</v>
      </c>
      <c r="F9">
        <v>0.87688683360963271</v>
      </c>
      <c r="G9">
        <v>2477.0528846153852</v>
      </c>
      <c r="H9">
        <v>1508.8350515463919</v>
      </c>
      <c r="I9">
        <v>968.21783306899306</v>
      </c>
      <c r="J9">
        <v>2375.3077506363638</v>
      </c>
      <c r="K9">
        <v>2184.8080940632281</v>
      </c>
      <c r="L9">
        <v>-4.2569615666116629</v>
      </c>
      <c r="M9">
        <v>2.5847952633127549E-5</v>
      </c>
      <c r="N9" t="s">
        <v>19</v>
      </c>
      <c r="O9" s="1">
        <f>I9*Итог!$B$2*('Положительный исход'!F9/100)</f>
        <v>84901.746988424929</v>
      </c>
    </row>
    <row r="10" spans="1:15" x14ac:dyDescent="0.25">
      <c r="A10" t="s">
        <v>16</v>
      </c>
      <c r="B10">
        <v>36</v>
      </c>
      <c r="C10">
        <v>129</v>
      </c>
      <c r="D10">
        <v>140</v>
      </c>
      <c r="E10">
        <v>269</v>
      </c>
      <c r="F10">
        <v>0.58677253293778908</v>
      </c>
      <c r="G10">
        <v>1835.7984496124029</v>
      </c>
      <c r="H10">
        <v>784.2</v>
      </c>
      <c r="I10">
        <v>1051.5984496124031</v>
      </c>
      <c r="J10">
        <v>2447.0043847651932</v>
      </c>
      <c r="K10">
        <v>1608.7337493379671</v>
      </c>
      <c r="L10">
        <v>-4.1277839266160523</v>
      </c>
      <c r="M10">
        <v>5.2124530713798182E-5</v>
      </c>
      <c r="N10" t="s">
        <v>19</v>
      </c>
      <c r="O10" s="1">
        <f>I10*Итог!$B$2*('Положительный исход'!F10/100)</f>
        <v>61704.908591252177</v>
      </c>
    </row>
    <row r="11" spans="1:15" x14ac:dyDescent="0.25">
      <c r="A11" t="s">
        <v>17</v>
      </c>
      <c r="B11">
        <v>117</v>
      </c>
      <c r="C11">
        <v>613</v>
      </c>
      <c r="D11">
        <v>579</v>
      </c>
      <c r="E11">
        <v>1192</v>
      </c>
      <c r="F11">
        <v>2.6001221533897572</v>
      </c>
      <c r="G11">
        <v>2404.9249592169658</v>
      </c>
      <c r="H11">
        <v>1927.6338514680481</v>
      </c>
      <c r="I11">
        <v>477.29110774891751</v>
      </c>
      <c r="J11">
        <v>2551.4878449872831</v>
      </c>
      <c r="K11">
        <v>2388.2447501901001</v>
      </c>
      <c r="L11">
        <v>-3.3359043101469639</v>
      </c>
      <c r="M11">
        <v>8.7646161675445679E-4</v>
      </c>
      <c r="N11" t="s">
        <v>19</v>
      </c>
      <c r="O11" s="1">
        <f>I11*Итог!$B$2*('Положительный исход'!F11/100)</f>
        <v>124101.51828738979</v>
      </c>
    </row>
    <row r="12" spans="1:15" x14ac:dyDescent="0.25">
      <c r="A12" t="s">
        <v>17</v>
      </c>
      <c r="B12">
        <v>213</v>
      </c>
      <c r="C12">
        <v>226</v>
      </c>
      <c r="D12">
        <v>251</v>
      </c>
      <c r="E12">
        <v>477</v>
      </c>
      <c r="F12">
        <v>1.0404851234621759</v>
      </c>
      <c r="G12">
        <v>2744.2964601769909</v>
      </c>
      <c r="H12">
        <v>2132.091633466136</v>
      </c>
      <c r="I12">
        <v>612.20482671085574</v>
      </c>
      <c r="J12">
        <v>2553.6544699157612</v>
      </c>
      <c r="K12">
        <v>2459.0641365303431</v>
      </c>
      <c r="L12">
        <v>-2.660596790715529</v>
      </c>
      <c r="M12">
        <v>8.0696096283442015E-3</v>
      </c>
      <c r="N12" t="s">
        <v>19</v>
      </c>
      <c r="O12" s="1">
        <f>I12*Итог!$B$2*('Положительный исход'!F12/100)</f>
        <v>63699.001470438481</v>
      </c>
    </row>
    <row r="13" spans="1:15" x14ac:dyDescent="0.25">
      <c r="A13" t="s">
        <v>17</v>
      </c>
      <c r="B13">
        <v>453</v>
      </c>
      <c r="C13">
        <v>1033</v>
      </c>
      <c r="D13">
        <v>1036</v>
      </c>
      <c r="E13">
        <v>2069</v>
      </c>
      <c r="F13">
        <v>4.5131314893988304</v>
      </c>
      <c r="G13">
        <v>2206.606001936108</v>
      </c>
      <c r="H13">
        <v>1756.933397683398</v>
      </c>
      <c r="I13">
        <v>449.6726042527107</v>
      </c>
      <c r="J13">
        <v>2495.6966028683441</v>
      </c>
      <c r="K13">
        <v>2368.9762048885091</v>
      </c>
      <c r="L13">
        <v>-4.2029952039716454</v>
      </c>
      <c r="M13">
        <v>2.7465731796017039E-5</v>
      </c>
      <c r="N13" t="s">
        <v>19</v>
      </c>
      <c r="O13" s="1">
        <f>I13*Итог!$B$2*('Положительный исход'!F13/100)</f>
        <v>202943.15901728871</v>
      </c>
    </row>
    <row r="14" spans="1:15" x14ac:dyDescent="0.25">
      <c r="A14" t="s">
        <v>17</v>
      </c>
      <c r="B14">
        <v>573</v>
      </c>
      <c r="C14">
        <v>170</v>
      </c>
      <c r="D14">
        <v>157</v>
      </c>
      <c r="E14">
        <v>327</v>
      </c>
      <c r="F14">
        <v>0.71328854375708928</v>
      </c>
      <c r="G14">
        <v>2562.5705882352941</v>
      </c>
      <c r="H14">
        <v>1454.0764331210189</v>
      </c>
      <c r="I14">
        <v>1108.4941551142749</v>
      </c>
      <c r="J14">
        <v>2665.3870081606992</v>
      </c>
      <c r="K14">
        <v>2255.7548811571078</v>
      </c>
      <c r="L14">
        <v>-4.0694015215406321</v>
      </c>
      <c r="M14">
        <v>5.9325026910014892E-5</v>
      </c>
      <c r="N14" t="s">
        <v>19</v>
      </c>
      <c r="O14" s="1">
        <f>I14*Итог!$B$2*('Положительный исход'!F14/100)</f>
        <v>79067.618166470609</v>
      </c>
    </row>
    <row r="15" spans="1:15" x14ac:dyDescent="0.25">
      <c r="A15" t="s">
        <v>17</v>
      </c>
      <c r="B15">
        <v>801</v>
      </c>
      <c r="C15">
        <v>220</v>
      </c>
      <c r="D15">
        <v>206</v>
      </c>
      <c r="E15">
        <v>426</v>
      </c>
      <c r="F15">
        <v>0.92923828636244654</v>
      </c>
      <c r="G15">
        <v>2754.6909090909089</v>
      </c>
      <c r="H15">
        <v>2063.4466019417482</v>
      </c>
      <c r="I15">
        <v>691.24430714916116</v>
      </c>
      <c r="J15">
        <v>2558.1037024382722</v>
      </c>
      <c r="K15">
        <v>2412.237913389406</v>
      </c>
      <c r="L15">
        <v>-2.8704331683116959</v>
      </c>
      <c r="M15">
        <v>4.3043442534124818E-3</v>
      </c>
      <c r="N15" t="s">
        <v>19</v>
      </c>
      <c r="O15" s="1">
        <f>I15*Итог!$B$2*('Положительный исход'!F15/100)</f>
        <v>64233.067543308316</v>
      </c>
    </row>
    <row r="16" spans="1:15" x14ac:dyDescent="0.25">
      <c r="A16" t="s">
        <v>17</v>
      </c>
      <c r="B16">
        <v>900</v>
      </c>
      <c r="C16">
        <v>329</v>
      </c>
      <c r="D16">
        <v>337</v>
      </c>
      <c r="E16">
        <v>666</v>
      </c>
      <c r="F16">
        <v>1.452752813890585</v>
      </c>
      <c r="G16">
        <v>2276.106382978724</v>
      </c>
      <c r="H16">
        <v>1582.46884272997</v>
      </c>
      <c r="I16">
        <v>693.63754024875334</v>
      </c>
      <c r="J16">
        <v>2573.8396209041389</v>
      </c>
      <c r="K16">
        <v>2302.2750135172</v>
      </c>
      <c r="L16">
        <v>-3.6627100275019848</v>
      </c>
      <c r="M16">
        <v>2.698084437038456E-4</v>
      </c>
      <c r="N16" t="s">
        <v>19</v>
      </c>
      <c r="O16" s="1">
        <f>I16*Итог!$B$2*('Положительный исход'!F16/100)</f>
        <v>100768.38884165203</v>
      </c>
    </row>
    <row r="17" spans="1:15" x14ac:dyDescent="0.25">
      <c r="A17" t="s">
        <v>18</v>
      </c>
      <c r="B17">
        <v>19</v>
      </c>
      <c r="C17">
        <v>130</v>
      </c>
      <c r="D17">
        <v>141</v>
      </c>
      <c r="E17">
        <v>271</v>
      </c>
      <c r="F17">
        <v>0.59113515400052352</v>
      </c>
      <c r="G17">
        <v>2043.823076923077</v>
      </c>
      <c r="H17">
        <v>1401.716312056737</v>
      </c>
      <c r="I17">
        <v>642.10676486633952</v>
      </c>
      <c r="J17">
        <v>2442.2667875313768</v>
      </c>
      <c r="K17">
        <v>2279.298505261906</v>
      </c>
      <c r="L17">
        <v>-2.2324534401273439</v>
      </c>
      <c r="M17">
        <v>2.6426951582282771E-2</v>
      </c>
      <c r="N17" t="s">
        <v>19</v>
      </c>
      <c r="O17" s="1">
        <f>I17*Итог!$B$2*('Положительный исход'!F17/100)</f>
        <v>37957.188133404154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>
      <selection activeCell="O2" sqref="O2"/>
    </sheetView>
  </sheetViews>
  <sheetFormatPr defaultRowHeight="15" x14ac:dyDescent="0.25"/>
  <cols>
    <col min="14" max="14" width="21.7109375" bestFit="1" customWidth="1"/>
    <col min="15" max="15" width="14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38</v>
      </c>
    </row>
    <row r="2" spans="1:15" x14ac:dyDescent="0.25">
      <c r="A2" t="s">
        <v>20</v>
      </c>
      <c r="B2">
        <v>46</v>
      </c>
      <c r="C2">
        <v>557</v>
      </c>
      <c r="D2">
        <v>521</v>
      </c>
      <c r="E2">
        <v>1078</v>
      </c>
      <c r="F2">
        <v>2.35145275281389</v>
      </c>
      <c r="G2">
        <v>0</v>
      </c>
      <c r="H2">
        <v>2200.0307101727449</v>
      </c>
      <c r="I2">
        <v>-2200.0307101727449</v>
      </c>
      <c r="J2">
        <v>0</v>
      </c>
      <c r="K2">
        <v>2414.6514279054518</v>
      </c>
      <c r="L2">
        <v>20.796639265877449</v>
      </c>
      <c r="M2">
        <v>2.3448954538138611E-70</v>
      </c>
      <c r="N2" t="s">
        <v>21</v>
      </c>
      <c r="O2" s="1">
        <f>I2*Итог!$B$2*('Отрицательный исход'!F2/100)</f>
        <v>-517326.82697107986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8"/>
  <sheetViews>
    <sheetView topLeftCell="A21" workbookViewId="0">
      <selection activeCell="N12" sqref="N12"/>
    </sheetView>
  </sheetViews>
  <sheetFormatPr defaultRowHeight="15" x14ac:dyDescent="0.25"/>
  <cols>
    <col min="14" max="14" width="19.42578125" bestFit="1" customWidth="1"/>
    <col min="15" max="15" width="14.140625" bestFit="1" customWidth="1"/>
    <col min="16" max="16" width="33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40</v>
      </c>
      <c r="P1" t="s">
        <v>39</v>
      </c>
    </row>
    <row r="2" spans="1:16" x14ac:dyDescent="0.25">
      <c r="A2" t="s">
        <v>22</v>
      </c>
      <c r="B2">
        <v>23</v>
      </c>
      <c r="C2">
        <v>123</v>
      </c>
      <c r="D2">
        <v>106</v>
      </c>
      <c r="E2">
        <v>229</v>
      </c>
      <c r="F2">
        <v>0.49952011168309918</v>
      </c>
      <c r="G2">
        <v>1288.5040650406499</v>
      </c>
      <c r="H2">
        <v>1225.405660377359</v>
      </c>
      <c r="I2">
        <v>63.098404663291831</v>
      </c>
      <c r="J2">
        <v>2237.003240483607</v>
      </c>
      <c r="K2">
        <v>2022.1776653061161</v>
      </c>
      <c r="L2">
        <v>-0.22412299183863579</v>
      </c>
      <c r="M2">
        <v>0.82286366519163612</v>
      </c>
      <c r="N2" t="s">
        <v>34</v>
      </c>
      <c r="O2">
        <f>MIN(J2,K2)</f>
        <v>2022.1776653061161</v>
      </c>
      <c r="P2">
        <f>CEILING(2 * (1.96 + 0.84)^2 * O2^2 / Итог!$B$3^2, 1)</f>
        <v>65</v>
      </c>
    </row>
    <row r="3" spans="1:16" x14ac:dyDescent="0.25">
      <c r="A3" t="s">
        <v>23</v>
      </c>
      <c r="B3">
        <v>11</v>
      </c>
      <c r="C3">
        <v>491</v>
      </c>
      <c r="D3">
        <v>600</v>
      </c>
      <c r="E3">
        <v>1091</v>
      </c>
      <c r="F3">
        <v>2.3798097897216648</v>
      </c>
      <c r="G3">
        <v>2222.7515274949078</v>
      </c>
      <c r="H3">
        <v>1985.1949999999999</v>
      </c>
      <c r="I3">
        <v>237.55652749490829</v>
      </c>
      <c r="J3">
        <v>2537.005700799768</v>
      </c>
      <c r="K3">
        <v>2445.6636443735852</v>
      </c>
      <c r="L3">
        <v>-1.5637676781217049</v>
      </c>
      <c r="M3">
        <v>0.11817903138741639</v>
      </c>
      <c r="N3" t="s">
        <v>34</v>
      </c>
      <c r="O3">
        <f t="shared" ref="O3:O38" si="0">MIN(J3,K3)</f>
        <v>2445.6636443735852</v>
      </c>
      <c r="P3">
        <f>CEILING(2 * (1.96 + 0.84)^2 * O3^2 / Итог!$B$3^2, 1)</f>
        <v>94</v>
      </c>
    </row>
    <row r="4" spans="1:16" x14ac:dyDescent="0.25">
      <c r="A4" t="s">
        <v>24</v>
      </c>
      <c r="B4">
        <v>66</v>
      </c>
      <c r="C4">
        <v>648</v>
      </c>
      <c r="D4">
        <v>684</v>
      </c>
      <c r="E4">
        <v>1332</v>
      </c>
      <c r="F4">
        <v>2.9055056277811708</v>
      </c>
      <c r="G4">
        <v>2153.0385802469141</v>
      </c>
      <c r="H4">
        <v>2365.2865497076018</v>
      </c>
      <c r="I4">
        <v>-212.24796946068861</v>
      </c>
      <c r="J4">
        <v>2431.0692542082302</v>
      </c>
      <c r="K4">
        <v>2467.3982770211492</v>
      </c>
      <c r="L4">
        <v>1.5810728027816221</v>
      </c>
      <c r="M4">
        <v>0.1140995262812574</v>
      </c>
      <c r="N4" t="s">
        <v>34</v>
      </c>
      <c r="O4">
        <f t="shared" si="0"/>
        <v>2431.0692542082302</v>
      </c>
      <c r="P4">
        <f>CEILING(2 * (1.96 + 0.84)^2 * O4^2 / Итог!$B$3^2, 1)</f>
        <v>93</v>
      </c>
    </row>
    <row r="5" spans="1:16" x14ac:dyDescent="0.25">
      <c r="A5" t="s">
        <v>25</v>
      </c>
      <c r="B5">
        <v>2</v>
      </c>
      <c r="C5">
        <v>78</v>
      </c>
      <c r="D5">
        <v>71</v>
      </c>
      <c r="E5">
        <v>149</v>
      </c>
      <c r="F5">
        <v>0.32501526917371959</v>
      </c>
      <c r="G5">
        <v>579.33333333333337</v>
      </c>
      <c r="H5">
        <v>483.45070422535213</v>
      </c>
      <c r="I5">
        <v>95.882629107981245</v>
      </c>
      <c r="J5">
        <v>1860.762430432972</v>
      </c>
      <c r="K5">
        <v>1654.9231815467831</v>
      </c>
      <c r="L5">
        <v>-0.33288475854446581</v>
      </c>
      <c r="M5">
        <v>0.73969578830356453</v>
      </c>
      <c r="N5" t="s">
        <v>34</v>
      </c>
      <c r="O5">
        <f t="shared" si="0"/>
        <v>1654.9231815467831</v>
      </c>
      <c r="P5">
        <f>CEILING(2 * (1.96 + 0.84)^2 * O5^2 / Итог!$B$3^2, 1)</f>
        <v>43</v>
      </c>
    </row>
    <row r="6" spans="1:16" x14ac:dyDescent="0.25">
      <c r="A6" t="s">
        <v>14</v>
      </c>
      <c r="B6">
        <v>439</v>
      </c>
      <c r="C6">
        <v>339</v>
      </c>
      <c r="D6">
        <v>335</v>
      </c>
      <c r="E6">
        <v>674</v>
      </c>
      <c r="F6">
        <v>1.470203298141523</v>
      </c>
      <c r="G6">
        <v>1888.3628318584069</v>
      </c>
      <c r="H6">
        <v>1830.6447761194031</v>
      </c>
      <c r="I6">
        <v>57.718055739004278</v>
      </c>
      <c r="J6">
        <v>2599.2603365106852</v>
      </c>
      <c r="K6">
        <v>2519.7893331820101</v>
      </c>
      <c r="L6">
        <v>-0.29270647408304928</v>
      </c>
      <c r="M6">
        <v>0.76983690922631431</v>
      </c>
      <c r="N6" t="s">
        <v>34</v>
      </c>
      <c r="O6">
        <f t="shared" si="0"/>
        <v>2519.7893331820101</v>
      </c>
      <c r="P6">
        <f>CEILING(2 * (1.96 + 0.84)^2 * O6^2 / Итог!$B$3^2, 1)</f>
        <v>100</v>
      </c>
    </row>
    <row r="7" spans="1:16" x14ac:dyDescent="0.25">
      <c r="A7" t="s">
        <v>14</v>
      </c>
      <c r="B7">
        <v>477</v>
      </c>
      <c r="C7">
        <v>364</v>
      </c>
      <c r="D7">
        <v>361</v>
      </c>
      <c r="E7">
        <v>725</v>
      </c>
      <c r="F7">
        <v>1.5814501352412531</v>
      </c>
      <c r="G7">
        <v>1717.184065934066</v>
      </c>
      <c r="H7">
        <v>1732.587257617728</v>
      </c>
      <c r="I7">
        <v>-15.4031916836625</v>
      </c>
      <c r="J7">
        <v>2406.8601591140541</v>
      </c>
      <c r="K7">
        <v>2498.3713803537121</v>
      </c>
      <c r="L7">
        <v>8.4529328404792617E-2</v>
      </c>
      <c r="M7">
        <v>0.93265903409744411</v>
      </c>
      <c r="N7" t="s">
        <v>34</v>
      </c>
      <c r="O7">
        <f t="shared" si="0"/>
        <v>2406.8601591140541</v>
      </c>
      <c r="P7">
        <f>CEILING(2 * (1.96 + 0.84)^2 * O7^2 / Итог!$B$3^2, 1)</f>
        <v>91</v>
      </c>
    </row>
    <row r="8" spans="1:16" x14ac:dyDescent="0.25">
      <c r="A8" t="s">
        <v>14</v>
      </c>
      <c r="B8">
        <v>516</v>
      </c>
      <c r="C8">
        <v>585</v>
      </c>
      <c r="D8">
        <v>602</v>
      </c>
      <c r="E8">
        <v>1187</v>
      </c>
      <c r="F8">
        <v>2.5892156007329201</v>
      </c>
      <c r="G8">
        <v>2302.4393162393162</v>
      </c>
      <c r="H8">
        <v>2276.885382059801</v>
      </c>
      <c r="I8">
        <v>25.55393417951564</v>
      </c>
      <c r="J8">
        <v>2697.1364216287329</v>
      </c>
      <c r="K8">
        <v>2694.223920586749</v>
      </c>
      <c r="L8">
        <v>-0.16328143312051249</v>
      </c>
      <c r="M8">
        <v>0.87032471787481847</v>
      </c>
      <c r="N8" t="s">
        <v>34</v>
      </c>
      <c r="O8">
        <f t="shared" si="0"/>
        <v>2694.223920586749</v>
      </c>
      <c r="P8">
        <f>CEILING(2 * (1.96 + 0.84)^2 * O8^2 / Итог!$B$3^2, 1)</f>
        <v>114</v>
      </c>
    </row>
    <row r="9" spans="1:16" x14ac:dyDescent="0.25">
      <c r="A9" t="s">
        <v>14</v>
      </c>
      <c r="B9">
        <v>699</v>
      </c>
      <c r="C9">
        <v>458</v>
      </c>
      <c r="D9">
        <v>469</v>
      </c>
      <c r="E9">
        <v>927</v>
      </c>
      <c r="F9">
        <v>2.022074862577437</v>
      </c>
      <c r="G9">
        <v>1783.7161572052401</v>
      </c>
      <c r="H9">
        <v>1922.162046908315</v>
      </c>
      <c r="I9">
        <v>-138.44588970307521</v>
      </c>
      <c r="J9">
        <v>2545.6976943004879</v>
      </c>
      <c r="K9">
        <v>2545.811871446082</v>
      </c>
      <c r="L9">
        <v>0.82783332824697475</v>
      </c>
      <c r="M9">
        <v>0.40797854095378039</v>
      </c>
      <c r="N9" t="s">
        <v>34</v>
      </c>
      <c r="O9">
        <f t="shared" si="0"/>
        <v>2545.6976943004879</v>
      </c>
      <c r="P9">
        <f>CEILING(2 * (1.96 + 0.84)^2 * O9^2 / Итог!$B$3^2, 1)</f>
        <v>102</v>
      </c>
    </row>
    <row r="10" spans="1:16" x14ac:dyDescent="0.25">
      <c r="A10" t="s">
        <v>14</v>
      </c>
      <c r="B10">
        <v>991</v>
      </c>
      <c r="C10">
        <v>247</v>
      </c>
      <c r="D10">
        <v>282</v>
      </c>
      <c r="E10">
        <v>529</v>
      </c>
      <c r="F10">
        <v>1.1539132710932729</v>
      </c>
      <c r="G10">
        <v>2196.805668016194</v>
      </c>
      <c r="H10">
        <v>1974.7730496453901</v>
      </c>
      <c r="I10">
        <v>222.03261837080441</v>
      </c>
      <c r="J10">
        <v>2663.9810088925369</v>
      </c>
      <c r="K10">
        <v>2613.5186569784219</v>
      </c>
      <c r="L10">
        <v>-0.96487122299289996</v>
      </c>
      <c r="M10">
        <v>0.33506206959755219</v>
      </c>
      <c r="N10" t="s">
        <v>34</v>
      </c>
      <c r="O10">
        <f t="shared" si="0"/>
        <v>2613.5186569784219</v>
      </c>
      <c r="P10">
        <f>CEILING(2 * (1.96 + 0.84)^2 * O10^2 / Итог!$B$3^2, 1)</f>
        <v>108</v>
      </c>
    </row>
    <row r="11" spans="1:16" x14ac:dyDescent="0.25">
      <c r="A11" t="s">
        <v>26</v>
      </c>
      <c r="B11">
        <v>1101</v>
      </c>
      <c r="C11">
        <v>772</v>
      </c>
      <c r="D11">
        <v>844</v>
      </c>
      <c r="E11">
        <v>1616</v>
      </c>
      <c r="F11">
        <v>3.524997818689469</v>
      </c>
      <c r="G11">
        <v>2019.031088082902</v>
      </c>
      <c r="H11">
        <v>2252.3850710900469</v>
      </c>
      <c r="I11">
        <v>-233.3539830071459</v>
      </c>
      <c r="J11">
        <v>2450.5473433055631</v>
      </c>
      <c r="K11">
        <v>2524.1225565978079</v>
      </c>
      <c r="L11">
        <v>1.884859379660335</v>
      </c>
      <c r="M11">
        <v>5.9628991309356089E-2</v>
      </c>
      <c r="N11" t="s">
        <v>34</v>
      </c>
      <c r="O11">
        <f t="shared" si="0"/>
        <v>2450.5473433055631</v>
      </c>
      <c r="P11">
        <f>CEILING(2 * (1.96 + 0.84)^2 * O11^2 / Итог!$B$3^2, 1)</f>
        <v>95</v>
      </c>
    </row>
    <row r="12" spans="1:16" x14ac:dyDescent="0.25">
      <c r="A12" t="s">
        <v>26</v>
      </c>
      <c r="B12">
        <v>1989</v>
      </c>
      <c r="C12">
        <v>231</v>
      </c>
      <c r="D12">
        <v>261</v>
      </c>
      <c r="E12">
        <v>492</v>
      </c>
      <c r="F12">
        <v>1.0732047814326851</v>
      </c>
      <c r="G12">
        <v>4109.9567099567103</v>
      </c>
      <c r="H12">
        <v>3912.8620689655172</v>
      </c>
      <c r="I12">
        <v>197.09464099119299</v>
      </c>
      <c r="J12">
        <v>2184.0659983330052</v>
      </c>
      <c r="K12">
        <v>2113.8096386841848</v>
      </c>
      <c r="L12">
        <v>-1.0141549230438189</v>
      </c>
      <c r="M12">
        <v>0.31102134990814051</v>
      </c>
      <c r="N12" t="s">
        <v>34</v>
      </c>
      <c r="O12">
        <f t="shared" si="0"/>
        <v>2113.8096386841848</v>
      </c>
      <c r="P12">
        <f>CEILING(2 * (1.96 + 0.84)^2 * O12^2 / Итог!$B$3^2, 1)</f>
        <v>71</v>
      </c>
    </row>
    <row r="13" spans="1:16" x14ac:dyDescent="0.25">
      <c r="A13" t="s">
        <v>27</v>
      </c>
      <c r="B13">
        <v>202</v>
      </c>
      <c r="C13">
        <v>535</v>
      </c>
      <c r="D13">
        <v>554</v>
      </c>
      <c r="E13">
        <v>1089</v>
      </c>
      <c r="F13">
        <v>2.3754471686589298</v>
      </c>
      <c r="G13">
        <v>2667.7588785046728</v>
      </c>
      <c r="H13">
        <v>2552.3953068592059</v>
      </c>
      <c r="I13">
        <v>115.36357164546691</v>
      </c>
      <c r="J13">
        <v>2576.6409425103188</v>
      </c>
      <c r="K13">
        <v>2423.1289996728801</v>
      </c>
      <c r="L13">
        <v>-0.76055317151983692</v>
      </c>
      <c r="M13">
        <v>0.44709046336160457</v>
      </c>
      <c r="N13" t="s">
        <v>34</v>
      </c>
      <c r="O13">
        <f t="shared" si="0"/>
        <v>2423.1289996728801</v>
      </c>
      <c r="P13">
        <f>CEILING(2 * (1.96 + 0.84)^2 * O13^2 / Итог!$B$3^2, 1)</f>
        <v>93</v>
      </c>
    </row>
    <row r="14" spans="1:16" x14ac:dyDescent="0.25">
      <c r="A14" t="s">
        <v>27</v>
      </c>
      <c r="B14">
        <v>212</v>
      </c>
      <c r="C14">
        <v>583</v>
      </c>
      <c r="D14">
        <v>563</v>
      </c>
      <c r="E14">
        <v>1146</v>
      </c>
      <c r="F14">
        <v>2.4997818689468629</v>
      </c>
      <c r="G14">
        <v>1969.727272727273</v>
      </c>
      <c r="H14">
        <v>2029.5452930728241</v>
      </c>
      <c r="I14">
        <v>-59.818020345551297</v>
      </c>
      <c r="J14">
        <v>2365.5110029795078</v>
      </c>
      <c r="K14">
        <v>2449.6792460508118</v>
      </c>
      <c r="L14">
        <v>0.42028704763749353</v>
      </c>
      <c r="M14">
        <v>0.67435508410287992</v>
      </c>
      <c r="N14" t="s">
        <v>34</v>
      </c>
      <c r="O14">
        <f t="shared" si="0"/>
        <v>2365.5110029795078</v>
      </c>
      <c r="P14">
        <f>CEILING(2 * (1.96 + 0.84)^2 * O14^2 / Итог!$B$3^2, 1)</f>
        <v>88</v>
      </c>
    </row>
    <row r="15" spans="1:16" x14ac:dyDescent="0.25">
      <c r="A15" t="s">
        <v>27</v>
      </c>
      <c r="B15">
        <v>277</v>
      </c>
      <c r="C15">
        <v>695</v>
      </c>
      <c r="D15">
        <v>694</v>
      </c>
      <c r="E15">
        <v>1389</v>
      </c>
      <c r="F15">
        <v>3.029840328069104</v>
      </c>
      <c r="G15">
        <v>2118.2071942446041</v>
      </c>
      <c r="H15">
        <v>2227.5662824207488</v>
      </c>
      <c r="I15">
        <v>-109.35908817614521</v>
      </c>
      <c r="J15">
        <v>2432.5683093157058</v>
      </c>
      <c r="K15">
        <v>2529.9386010980838</v>
      </c>
      <c r="L15">
        <v>0.82113591941855357</v>
      </c>
      <c r="M15">
        <v>0.41171019642404111</v>
      </c>
      <c r="N15" t="s">
        <v>34</v>
      </c>
      <c r="O15">
        <f t="shared" si="0"/>
        <v>2432.5683093157058</v>
      </c>
      <c r="P15">
        <f>CEILING(2 * (1.96 + 0.84)^2 * O15^2 / Итог!$B$3^2, 1)</f>
        <v>93</v>
      </c>
    </row>
    <row r="16" spans="1:16" x14ac:dyDescent="0.25">
      <c r="A16" t="s">
        <v>27</v>
      </c>
      <c r="B16">
        <v>278</v>
      </c>
      <c r="C16">
        <v>520</v>
      </c>
      <c r="D16">
        <v>483</v>
      </c>
      <c r="E16">
        <v>1003</v>
      </c>
      <c r="F16">
        <v>2.1878544629613468</v>
      </c>
      <c r="G16">
        <v>2232.584615384616</v>
      </c>
      <c r="H16">
        <v>2077.4948240165631</v>
      </c>
      <c r="I16">
        <v>155.0897913680524</v>
      </c>
      <c r="J16">
        <v>2482.2007383268842</v>
      </c>
      <c r="K16">
        <v>2398.9441949515681</v>
      </c>
      <c r="L16">
        <v>-1.006065982955453</v>
      </c>
      <c r="M16">
        <v>0.31462734529714298</v>
      </c>
      <c r="N16" t="s">
        <v>34</v>
      </c>
      <c r="O16">
        <f t="shared" si="0"/>
        <v>2398.9441949515681</v>
      </c>
      <c r="P16">
        <f>CEILING(2 * (1.96 + 0.84)^2 * O16^2 / Итог!$B$3^2, 1)</f>
        <v>91</v>
      </c>
    </row>
    <row r="17" spans="1:16" x14ac:dyDescent="0.25">
      <c r="A17" t="s">
        <v>27</v>
      </c>
      <c r="B17">
        <v>444</v>
      </c>
      <c r="C17">
        <v>636</v>
      </c>
      <c r="D17">
        <v>548</v>
      </c>
      <c r="E17">
        <v>1184</v>
      </c>
      <c r="F17">
        <v>2.582671669138819</v>
      </c>
      <c r="G17">
        <v>2185.635220125786</v>
      </c>
      <c r="H17">
        <v>2323.682481751825</v>
      </c>
      <c r="I17">
        <v>-138.04726162603899</v>
      </c>
      <c r="J17">
        <v>2400.7631691370871</v>
      </c>
      <c r="K17">
        <v>2452.675755107583</v>
      </c>
      <c r="L17">
        <v>0.97517245908530314</v>
      </c>
      <c r="M17">
        <v>0.32968004702514653</v>
      </c>
      <c r="N17" t="s">
        <v>34</v>
      </c>
      <c r="O17">
        <f t="shared" si="0"/>
        <v>2400.7631691370871</v>
      </c>
      <c r="P17">
        <f>CEILING(2 * (1.96 + 0.84)^2 * O17^2 / Итог!$B$3^2, 1)</f>
        <v>91</v>
      </c>
    </row>
    <row r="18" spans="1:16" x14ac:dyDescent="0.25">
      <c r="A18" t="s">
        <v>15</v>
      </c>
      <c r="B18">
        <v>2212</v>
      </c>
      <c r="C18">
        <v>412</v>
      </c>
      <c r="D18">
        <v>393</v>
      </c>
      <c r="E18">
        <v>805</v>
      </c>
      <c r="F18">
        <v>1.7559549777506329</v>
      </c>
      <c r="G18">
        <v>2510.172330097088</v>
      </c>
      <c r="H18">
        <v>2633.259541984733</v>
      </c>
      <c r="I18">
        <v>-123.08721188764549</v>
      </c>
      <c r="J18">
        <v>2324.578397671517</v>
      </c>
      <c r="K18">
        <v>2204.3785691989629</v>
      </c>
      <c r="L18">
        <v>0.77110018132416513</v>
      </c>
      <c r="M18">
        <v>0.440874390851271</v>
      </c>
      <c r="N18" t="s">
        <v>34</v>
      </c>
      <c r="O18">
        <f t="shared" si="0"/>
        <v>2204.3785691989629</v>
      </c>
      <c r="P18">
        <f>CEILING(2 * (1.96 + 0.84)^2 * O18^2 / Итог!$B$3^2, 1)</f>
        <v>77</v>
      </c>
    </row>
    <row r="19" spans="1:16" x14ac:dyDescent="0.25">
      <c r="A19" t="s">
        <v>15</v>
      </c>
      <c r="B19">
        <v>3786</v>
      </c>
      <c r="C19">
        <v>231</v>
      </c>
      <c r="D19">
        <v>271</v>
      </c>
      <c r="E19">
        <v>502</v>
      </c>
      <c r="F19">
        <v>1.0950178867463569</v>
      </c>
      <c r="G19">
        <v>2371.640692640693</v>
      </c>
      <c r="H19">
        <v>2343.391143911439</v>
      </c>
      <c r="I19">
        <v>28.249548729253551</v>
      </c>
      <c r="J19">
        <v>2152.8890994857902</v>
      </c>
      <c r="K19">
        <v>2241.3813585795579</v>
      </c>
      <c r="L19">
        <v>-0.14378155559915279</v>
      </c>
      <c r="M19">
        <v>0.88573173064018818</v>
      </c>
      <c r="N19" t="s">
        <v>34</v>
      </c>
      <c r="O19">
        <f t="shared" si="0"/>
        <v>2152.8890994857902</v>
      </c>
      <c r="P19">
        <f>CEILING(2 * (1.96 + 0.84)^2 * O19^2 / Итог!$B$3^2, 1)</f>
        <v>73</v>
      </c>
    </row>
    <row r="20" spans="1:16" x14ac:dyDescent="0.25">
      <c r="A20" t="s">
        <v>15</v>
      </c>
      <c r="B20">
        <v>3987</v>
      </c>
      <c r="C20">
        <v>789</v>
      </c>
      <c r="D20">
        <v>773</v>
      </c>
      <c r="E20">
        <v>1562</v>
      </c>
      <c r="F20">
        <v>3.4072070499956371</v>
      </c>
      <c r="G20">
        <v>1443.5678073510769</v>
      </c>
      <c r="H20">
        <v>1440.1824062095729</v>
      </c>
      <c r="I20">
        <v>3.38540114150419</v>
      </c>
      <c r="J20">
        <v>2162.7403301278</v>
      </c>
      <c r="K20">
        <v>2086.7066148545232</v>
      </c>
      <c r="L20">
        <v>-3.1485133054378008E-2</v>
      </c>
      <c r="M20">
        <v>0.97488667686490016</v>
      </c>
      <c r="N20" t="s">
        <v>34</v>
      </c>
      <c r="O20">
        <f t="shared" si="0"/>
        <v>2086.7066148545232</v>
      </c>
      <c r="P20">
        <f>CEILING(2 * (1.96 + 0.84)^2 * O20^2 / Итог!$B$3^2, 1)</f>
        <v>69</v>
      </c>
    </row>
    <row r="21" spans="1:16" x14ac:dyDescent="0.25">
      <c r="A21" t="s">
        <v>15</v>
      </c>
      <c r="B21">
        <v>6543</v>
      </c>
      <c r="C21">
        <v>654</v>
      </c>
      <c r="D21">
        <v>681</v>
      </c>
      <c r="E21">
        <v>1335</v>
      </c>
      <c r="F21">
        <v>2.9120495593752729</v>
      </c>
      <c r="G21">
        <v>1601.102446483181</v>
      </c>
      <c r="H21">
        <v>1403.48751835536</v>
      </c>
      <c r="I21">
        <v>197.6149281278208</v>
      </c>
      <c r="J21">
        <v>2239.585604900723</v>
      </c>
      <c r="K21">
        <v>2022.856408698261</v>
      </c>
      <c r="L21">
        <v>-1.689691359479121</v>
      </c>
      <c r="M21">
        <v>9.1325543637745116E-2</v>
      </c>
      <c r="N21" t="s">
        <v>34</v>
      </c>
      <c r="O21">
        <f t="shared" si="0"/>
        <v>2022.856408698261</v>
      </c>
      <c r="P21">
        <f>CEILING(2 * (1.96 + 0.84)^2 * O21^2 / Итог!$B$3^2, 1)</f>
        <v>65</v>
      </c>
    </row>
    <row r="22" spans="1:16" x14ac:dyDescent="0.25">
      <c r="A22" t="s">
        <v>15</v>
      </c>
      <c r="B22">
        <v>8543</v>
      </c>
      <c r="C22">
        <v>146</v>
      </c>
      <c r="D22">
        <v>138</v>
      </c>
      <c r="E22">
        <v>284</v>
      </c>
      <c r="F22">
        <v>0.61949219090829777</v>
      </c>
      <c r="G22">
        <v>1729.5</v>
      </c>
      <c r="H22">
        <v>1597.246376811594</v>
      </c>
      <c r="I22">
        <v>132.25362318840581</v>
      </c>
      <c r="J22">
        <v>2324.722311188571</v>
      </c>
      <c r="K22">
        <v>2459.808006309941</v>
      </c>
      <c r="L22">
        <v>-0.46509019169294979</v>
      </c>
      <c r="M22">
        <v>0.64223036960158197</v>
      </c>
      <c r="N22" t="s">
        <v>34</v>
      </c>
      <c r="O22">
        <f t="shared" si="0"/>
        <v>2324.722311188571</v>
      </c>
      <c r="P22">
        <f>CEILING(2 * (1.96 + 0.84)^2 * O22^2 / Итог!$B$3^2, 1)</f>
        <v>85</v>
      </c>
    </row>
    <row r="23" spans="1:16" x14ac:dyDescent="0.25">
      <c r="A23" t="s">
        <v>15</v>
      </c>
      <c r="B23">
        <v>9121</v>
      </c>
      <c r="C23">
        <v>130</v>
      </c>
      <c r="D23">
        <v>107</v>
      </c>
      <c r="E23">
        <v>237</v>
      </c>
      <c r="F23">
        <v>0.51697059593403716</v>
      </c>
      <c r="G23">
        <v>1891.8</v>
      </c>
      <c r="H23">
        <v>1746.9532710280371</v>
      </c>
      <c r="I23">
        <v>144.84672897196259</v>
      </c>
      <c r="J23">
        <v>2426.4730342714529</v>
      </c>
      <c r="K23">
        <v>2168.4818808574641</v>
      </c>
      <c r="L23">
        <v>-0.4848810637581446</v>
      </c>
      <c r="M23">
        <v>0.62821550609982368</v>
      </c>
      <c r="N23" t="s">
        <v>34</v>
      </c>
      <c r="O23">
        <f t="shared" si="0"/>
        <v>2168.4818808574641</v>
      </c>
      <c r="P23">
        <f>CEILING(2 * (1.96 + 0.84)^2 * O23^2 / Итог!$B$3^2, 1)</f>
        <v>74</v>
      </c>
    </row>
    <row r="24" spans="1:16" x14ac:dyDescent="0.25">
      <c r="A24" t="s">
        <v>15</v>
      </c>
      <c r="B24">
        <v>9931</v>
      </c>
      <c r="C24">
        <v>153</v>
      </c>
      <c r="D24">
        <v>135</v>
      </c>
      <c r="E24">
        <v>288</v>
      </c>
      <c r="F24">
        <v>0.62821743303376665</v>
      </c>
      <c r="G24">
        <v>1415.7843137254899</v>
      </c>
      <c r="H24">
        <v>1804.0296296296301</v>
      </c>
      <c r="I24">
        <v>-388.24531590413949</v>
      </c>
      <c r="J24">
        <v>2038.1642473623181</v>
      </c>
      <c r="K24">
        <v>1997.493212364911</v>
      </c>
      <c r="L24">
        <v>1.6303840563731491</v>
      </c>
      <c r="M24">
        <v>0.1041333645874768</v>
      </c>
      <c r="N24" t="s">
        <v>34</v>
      </c>
      <c r="O24">
        <f t="shared" si="0"/>
        <v>1997.493212364911</v>
      </c>
      <c r="P24">
        <f>CEILING(2 * (1.96 + 0.84)^2 * O24^2 / Итог!$B$3^2, 1)</f>
        <v>63</v>
      </c>
    </row>
    <row r="25" spans="1:16" x14ac:dyDescent="0.25">
      <c r="A25" t="s">
        <v>28</v>
      </c>
      <c r="B25">
        <v>54</v>
      </c>
      <c r="C25">
        <v>628</v>
      </c>
      <c r="D25">
        <v>630</v>
      </c>
      <c r="E25">
        <v>1258</v>
      </c>
      <c r="F25">
        <v>2.7440886484599951</v>
      </c>
      <c r="G25">
        <v>1625.1194267515921</v>
      </c>
      <c r="H25">
        <v>1533.6349206349209</v>
      </c>
      <c r="I25">
        <v>91.484506116671582</v>
      </c>
      <c r="J25">
        <v>2418.0185734274619</v>
      </c>
      <c r="K25">
        <v>2332.3473372976159</v>
      </c>
      <c r="L25">
        <v>-0.6829315752933014</v>
      </c>
      <c r="M25">
        <v>0.49477621859668169</v>
      </c>
      <c r="N25" t="s">
        <v>34</v>
      </c>
      <c r="O25">
        <f t="shared" si="0"/>
        <v>2332.3473372976159</v>
      </c>
      <c r="P25">
        <f>CEILING(2 * (1.96 + 0.84)^2 * O25^2 / Итог!$B$3^2, 1)</f>
        <v>86</v>
      </c>
    </row>
    <row r="26" spans="1:16" x14ac:dyDescent="0.25">
      <c r="A26" t="s">
        <v>28</v>
      </c>
      <c r="B26">
        <v>55</v>
      </c>
      <c r="C26">
        <v>411</v>
      </c>
      <c r="D26">
        <v>416</v>
      </c>
      <c r="E26">
        <v>827</v>
      </c>
      <c r="F26">
        <v>1.8039438094407121</v>
      </c>
      <c r="G26">
        <v>1842.2749391727491</v>
      </c>
      <c r="H26">
        <v>1910.6682692307691</v>
      </c>
      <c r="I26">
        <v>-68.393330058019956</v>
      </c>
      <c r="J26">
        <v>2261.805973828983</v>
      </c>
      <c r="K26">
        <v>2465.771384580255</v>
      </c>
      <c r="L26">
        <v>0.4157470794576234</v>
      </c>
      <c r="M26">
        <v>0.67770379528000257</v>
      </c>
      <c r="N26" t="s">
        <v>34</v>
      </c>
      <c r="O26">
        <f t="shared" si="0"/>
        <v>2261.805973828983</v>
      </c>
      <c r="P26">
        <f>CEILING(2 * (1.96 + 0.84)^2 * O26^2 / Итог!$B$3^2, 1)</f>
        <v>81</v>
      </c>
    </row>
    <row r="27" spans="1:16" x14ac:dyDescent="0.25">
      <c r="A27" t="s">
        <v>29</v>
      </c>
      <c r="B27">
        <v>13</v>
      </c>
      <c r="C27">
        <v>141</v>
      </c>
      <c r="D27">
        <v>148</v>
      </c>
      <c r="E27">
        <v>289</v>
      </c>
      <c r="F27">
        <v>0.63039874356513392</v>
      </c>
      <c r="G27">
        <v>1895.5177304964541</v>
      </c>
      <c r="H27">
        <v>2213.7567567567571</v>
      </c>
      <c r="I27">
        <v>-318.23902626030281</v>
      </c>
      <c r="J27">
        <v>2424.4082034969661</v>
      </c>
      <c r="K27">
        <v>2511.4039264775438</v>
      </c>
      <c r="L27">
        <v>1.0960598881916701</v>
      </c>
      <c r="M27">
        <v>0.27397159886445388</v>
      </c>
      <c r="N27" t="s">
        <v>34</v>
      </c>
      <c r="O27">
        <f t="shared" si="0"/>
        <v>2424.4082034969661</v>
      </c>
      <c r="P27">
        <f>CEILING(2 * (1.96 + 0.84)^2 * O27^2 / Итог!$B$3^2, 1)</f>
        <v>93</v>
      </c>
    </row>
    <row r="28" spans="1:16" x14ac:dyDescent="0.25">
      <c r="A28" t="s">
        <v>17</v>
      </c>
      <c r="B28">
        <v>112</v>
      </c>
      <c r="C28">
        <v>640</v>
      </c>
      <c r="D28">
        <v>673</v>
      </c>
      <c r="E28">
        <v>1313</v>
      </c>
      <c r="F28">
        <v>2.8640607276851928</v>
      </c>
      <c r="G28">
        <v>2324.2843750000002</v>
      </c>
      <c r="H28">
        <v>2059.5156017830609</v>
      </c>
      <c r="I28">
        <v>264.76877321693928</v>
      </c>
      <c r="J28">
        <v>2525.233581672991</v>
      </c>
      <c r="K28">
        <v>2452.09022476057</v>
      </c>
      <c r="L28">
        <v>-1.9260112610301301</v>
      </c>
      <c r="M28">
        <v>5.4320364348898927E-2</v>
      </c>
      <c r="N28" t="s">
        <v>34</v>
      </c>
      <c r="O28">
        <f t="shared" si="0"/>
        <v>2452.09022476057</v>
      </c>
      <c r="P28">
        <f>CEILING(2 * (1.96 + 0.84)^2 * O28^2 / Итог!$B$3^2, 1)</f>
        <v>95</v>
      </c>
    </row>
    <row r="29" spans="1:16" x14ac:dyDescent="0.25">
      <c r="A29" t="s">
        <v>17</v>
      </c>
      <c r="B29">
        <v>309</v>
      </c>
      <c r="C29">
        <v>232</v>
      </c>
      <c r="D29">
        <v>236</v>
      </c>
      <c r="E29">
        <v>468</v>
      </c>
      <c r="F29">
        <v>1.0208533286798711</v>
      </c>
      <c r="G29">
        <v>2444.1939655172409</v>
      </c>
      <c r="H29">
        <v>2284.118644067797</v>
      </c>
      <c r="I29">
        <v>160.0753214494448</v>
      </c>
      <c r="J29">
        <v>2471.4931377974481</v>
      </c>
      <c r="K29">
        <v>2499.8769660601611</v>
      </c>
      <c r="L29">
        <v>-0.69657753535013522</v>
      </c>
      <c r="M29">
        <v>0.48641453737645202</v>
      </c>
      <c r="N29" t="s">
        <v>34</v>
      </c>
      <c r="O29">
        <f t="shared" si="0"/>
        <v>2471.4931377974481</v>
      </c>
      <c r="P29">
        <f>CEILING(2 * (1.96 + 0.84)^2 * O29^2 / Итог!$B$3^2, 1)</f>
        <v>96</v>
      </c>
    </row>
    <row r="30" spans="1:16" x14ac:dyDescent="0.25">
      <c r="A30" t="s">
        <v>17</v>
      </c>
      <c r="B30">
        <v>394</v>
      </c>
      <c r="C30">
        <v>103</v>
      </c>
      <c r="D30">
        <v>85</v>
      </c>
      <c r="E30">
        <v>188</v>
      </c>
      <c r="F30">
        <v>0.41008637989704222</v>
      </c>
      <c r="G30">
        <v>1134.1067961165049</v>
      </c>
      <c r="H30">
        <v>973.62352941176471</v>
      </c>
      <c r="I30">
        <v>160.4832667047402</v>
      </c>
      <c r="J30">
        <v>1991.361505439311</v>
      </c>
      <c r="K30">
        <v>1940.8548250244601</v>
      </c>
      <c r="L30">
        <v>-0.55766107687523736</v>
      </c>
      <c r="M30">
        <v>0.57776523970863203</v>
      </c>
      <c r="N30" t="s">
        <v>34</v>
      </c>
      <c r="O30">
        <f t="shared" si="0"/>
        <v>1940.8548250244601</v>
      </c>
      <c r="P30">
        <f>CEILING(2 * (1.96 + 0.84)^2 * O30^2 / Итог!$B$3^2, 1)</f>
        <v>60</v>
      </c>
    </row>
    <row r="31" spans="1:16" x14ac:dyDescent="0.25">
      <c r="A31" t="s">
        <v>17</v>
      </c>
      <c r="B31">
        <v>576</v>
      </c>
      <c r="C31">
        <v>622</v>
      </c>
      <c r="D31">
        <v>651</v>
      </c>
      <c r="E31">
        <v>1273</v>
      </c>
      <c r="F31">
        <v>2.776808306430504</v>
      </c>
      <c r="G31">
        <v>1454.1575562700959</v>
      </c>
      <c r="H31">
        <v>1248.0921658986181</v>
      </c>
      <c r="I31">
        <v>206.0653903714788</v>
      </c>
      <c r="J31">
        <v>2384.1325866899779</v>
      </c>
      <c r="K31">
        <v>2205.6639030076281</v>
      </c>
      <c r="L31">
        <v>-1.5988262107173981</v>
      </c>
      <c r="M31">
        <v>0.1101115316206998</v>
      </c>
      <c r="N31" t="s">
        <v>34</v>
      </c>
      <c r="O31">
        <f t="shared" si="0"/>
        <v>2205.6639030076281</v>
      </c>
      <c r="P31">
        <f>CEILING(2 * (1.96 + 0.84)^2 * O31^2 / Итог!$B$3^2, 1)</f>
        <v>77</v>
      </c>
    </row>
    <row r="32" spans="1:16" x14ac:dyDescent="0.25">
      <c r="A32" t="s">
        <v>17</v>
      </c>
      <c r="B32">
        <v>891</v>
      </c>
      <c r="C32">
        <v>156</v>
      </c>
      <c r="D32">
        <v>166</v>
      </c>
      <c r="E32">
        <v>322</v>
      </c>
      <c r="F32">
        <v>0.70238199110025301</v>
      </c>
      <c r="G32">
        <v>2439.6923076923081</v>
      </c>
      <c r="H32">
        <v>1907.8554216867469</v>
      </c>
      <c r="I32">
        <v>531.8368860055607</v>
      </c>
      <c r="J32">
        <v>2611.5236798698752</v>
      </c>
      <c r="K32">
        <v>2311.928797962692</v>
      </c>
      <c r="L32">
        <v>-1.9302270104216139</v>
      </c>
      <c r="M32">
        <v>5.4491841620799703E-2</v>
      </c>
      <c r="N32" t="s">
        <v>34</v>
      </c>
      <c r="O32">
        <f t="shared" si="0"/>
        <v>2311.928797962692</v>
      </c>
      <c r="P32">
        <f>CEILING(2 * (1.96 + 0.84)^2 * O32^2 / Итог!$B$3^2, 1)</f>
        <v>84</v>
      </c>
    </row>
    <row r="33" spans="1:16" x14ac:dyDescent="0.25">
      <c r="A33" t="s">
        <v>30</v>
      </c>
      <c r="B33">
        <v>80</v>
      </c>
      <c r="C33">
        <v>830</v>
      </c>
      <c r="D33">
        <v>861</v>
      </c>
      <c r="E33">
        <v>1691</v>
      </c>
      <c r="F33">
        <v>3.6885961085420118</v>
      </c>
      <c r="G33">
        <v>2349.153012048193</v>
      </c>
      <c r="H33">
        <v>2315.2973286875731</v>
      </c>
      <c r="I33">
        <v>33.855683360620333</v>
      </c>
      <c r="J33">
        <v>2485.3147207626262</v>
      </c>
      <c r="K33">
        <v>2515.9727731463599</v>
      </c>
      <c r="L33">
        <v>-0.27834871894496399</v>
      </c>
      <c r="M33">
        <v>0.78077877256470585</v>
      </c>
      <c r="N33" t="s">
        <v>34</v>
      </c>
      <c r="O33">
        <f t="shared" si="0"/>
        <v>2485.3147207626262</v>
      </c>
      <c r="P33">
        <f>CEILING(2 * (1.96 + 0.84)^2 * O33^2 / Итог!$B$3^2, 1)</f>
        <v>97</v>
      </c>
    </row>
    <row r="34" spans="1:16" x14ac:dyDescent="0.25">
      <c r="A34" t="s">
        <v>30</v>
      </c>
      <c r="B34">
        <v>82</v>
      </c>
      <c r="C34">
        <v>166</v>
      </c>
      <c r="D34">
        <v>223</v>
      </c>
      <c r="E34">
        <v>389</v>
      </c>
      <c r="F34">
        <v>0.84852979670185846</v>
      </c>
      <c r="G34">
        <v>2445.1385542168669</v>
      </c>
      <c r="H34">
        <v>2417.3721973094171</v>
      </c>
      <c r="I34">
        <v>27.766356907450241</v>
      </c>
      <c r="J34">
        <v>2483.3358500860782</v>
      </c>
      <c r="K34">
        <v>2555.516800492986</v>
      </c>
      <c r="L34">
        <v>-0.1077252925521726</v>
      </c>
      <c r="M34">
        <v>0.91427345778148805</v>
      </c>
      <c r="N34" t="s">
        <v>34</v>
      </c>
      <c r="O34">
        <f t="shared" si="0"/>
        <v>2483.3358500860782</v>
      </c>
      <c r="P34">
        <f>CEILING(2 * (1.96 + 0.84)^2 * O34^2 / Итог!$B$3^2, 1)</f>
        <v>97</v>
      </c>
    </row>
    <row r="35" spans="1:16" x14ac:dyDescent="0.25">
      <c r="A35" t="s">
        <v>31</v>
      </c>
      <c r="B35">
        <v>69</v>
      </c>
      <c r="C35">
        <v>73</v>
      </c>
      <c r="D35">
        <v>78</v>
      </c>
      <c r="E35">
        <v>151</v>
      </c>
      <c r="F35">
        <v>0.32937789023645397</v>
      </c>
      <c r="G35">
        <v>904.05479452054794</v>
      </c>
      <c r="H35">
        <v>600.15384615384619</v>
      </c>
      <c r="I35">
        <v>303.90094836670181</v>
      </c>
      <c r="J35">
        <v>2022.4881876485911</v>
      </c>
      <c r="K35">
        <v>1690.139755052342</v>
      </c>
      <c r="L35">
        <v>-0.99837648325727346</v>
      </c>
      <c r="M35">
        <v>0.31981099250590361</v>
      </c>
      <c r="N35" t="s">
        <v>34</v>
      </c>
      <c r="O35">
        <f t="shared" si="0"/>
        <v>1690.139755052342</v>
      </c>
      <c r="P35">
        <f>CEILING(2 * (1.96 + 0.84)^2 * O35^2 / Итог!$B$3^2, 1)</f>
        <v>45</v>
      </c>
    </row>
    <row r="36" spans="1:16" x14ac:dyDescent="0.25">
      <c r="A36" t="s">
        <v>32</v>
      </c>
      <c r="B36">
        <v>72</v>
      </c>
      <c r="C36">
        <v>596</v>
      </c>
      <c r="D36">
        <v>627</v>
      </c>
      <c r="E36">
        <v>1223</v>
      </c>
      <c r="F36">
        <v>2.6677427798621411</v>
      </c>
      <c r="G36">
        <v>2159.7718120805371</v>
      </c>
      <c r="H36">
        <v>2351.2137161084529</v>
      </c>
      <c r="I36">
        <v>-191.4419040279158</v>
      </c>
      <c r="J36">
        <v>2543.4895671291561</v>
      </c>
      <c r="K36">
        <v>2519.6624359848611</v>
      </c>
      <c r="L36">
        <v>1.3217006397984239</v>
      </c>
      <c r="M36">
        <v>0.18651633047413491</v>
      </c>
      <c r="N36" t="s">
        <v>34</v>
      </c>
      <c r="O36">
        <f t="shared" si="0"/>
        <v>2519.6624359848611</v>
      </c>
      <c r="P36">
        <f>CEILING(2 * (1.96 + 0.84)^2 * O36^2 / Итог!$B$3^2, 1)</f>
        <v>100</v>
      </c>
    </row>
    <row r="37" spans="1:16" x14ac:dyDescent="0.25">
      <c r="A37" t="s">
        <v>32</v>
      </c>
      <c r="B37">
        <v>73</v>
      </c>
      <c r="C37">
        <v>186</v>
      </c>
      <c r="D37">
        <v>162</v>
      </c>
      <c r="E37">
        <v>348</v>
      </c>
      <c r="F37">
        <v>0.75909606491580151</v>
      </c>
      <c r="G37">
        <v>2039.586021505376</v>
      </c>
      <c r="H37">
        <v>2234.0308641975312</v>
      </c>
      <c r="I37">
        <v>-194.44484269215451</v>
      </c>
      <c r="J37">
        <v>2432.4471440869011</v>
      </c>
      <c r="K37">
        <v>2386.1424088504809</v>
      </c>
      <c r="L37">
        <v>0.75144773633869422</v>
      </c>
      <c r="M37">
        <v>0.45290133698227242</v>
      </c>
      <c r="N37" t="s">
        <v>34</v>
      </c>
      <c r="O37">
        <f t="shared" si="0"/>
        <v>2386.1424088504809</v>
      </c>
      <c r="P37">
        <f>CEILING(2 * (1.96 + 0.84)^2 * O37^2 / Итог!$B$3^2, 1)</f>
        <v>90</v>
      </c>
    </row>
    <row r="38" spans="1:16" x14ac:dyDescent="0.25">
      <c r="A38" t="s">
        <v>33</v>
      </c>
      <c r="B38">
        <v>88</v>
      </c>
      <c r="C38">
        <v>183</v>
      </c>
      <c r="D38">
        <v>164</v>
      </c>
      <c r="E38">
        <v>347</v>
      </c>
      <c r="F38">
        <v>0.75691475438443423</v>
      </c>
      <c r="G38">
        <v>2571.7377049180332</v>
      </c>
      <c r="H38">
        <v>2289.6707317073169</v>
      </c>
      <c r="I38">
        <v>282.06697321071579</v>
      </c>
      <c r="J38">
        <v>2592.3093478593751</v>
      </c>
      <c r="K38">
        <v>2470.6537673572388</v>
      </c>
      <c r="L38">
        <v>-1.0373054991996169</v>
      </c>
      <c r="M38">
        <v>0.30032276373945782</v>
      </c>
      <c r="N38" t="s">
        <v>34</v>
      </c>
      <c r="O38">
        <f t="shared" si="0"/>
        <v>2470.6537673572388</v>
      </c>
      <c r="P38">
        <f>CEILING(2 * (1.96 + 0.84)^2 * O38^2 / Итог!$B$3^2, 1)</f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Итог</vt:lpstr>
      <vt:lpstr>Положительный исход</vt:lpstr>
      <vt:lpstr>Отрицательный исход</vt:lpstr>
      <vt:lpstr>Нейтральный исход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косик косик</cp:lastModifiedBy>
  <dcterms:created xsi:type="dcterms:W3CDTF">2026-07-23T11:46:31Z</dcterms:created>
  <dcterms:modified xsi:type="dcterms:W3CDTF">2026-07-23T12:47:57Z</dcterms:modified>
</cp:coreProperties>
</file>